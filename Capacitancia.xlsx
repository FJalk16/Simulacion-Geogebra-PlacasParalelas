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19c114428bbecd2/Escritorio/clases/Articulos a publicar/Capacitancia placas paralelas/Revista brasileña/"/>
    </mc:Choice>
  </mc:AlternateContent>
  <xr:revisionPtr revIDLastSave="1" documentId="8_{3BEF35AE-AFC9-44E0-A189-613FBAE74703}" xr6:coauthVersionLast="47" xr6:coauthVersionMax="47" xr10:uidLastSave="{D1074B09-B6C2-4956-A283-EDB03C03C623}"/>
  <bookViews>
    <workbookView xWindow="-108" yWindow="-108" windowWidth="23256" windowHeight="12456" activeTab="2" xr2:uid="{28845821-39E7-42A5-86A4-DAACC607140F}"/>
  </bookViews>
  <sheets>
    <sheet name="Distancia" sheetId="1" r:id="rId1"/>
    <sheet name="Area" sheetId="2" r:id="rId2"/>
    <sheet name="Dielectric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8" i="3" l="1"/>
  <c r="F28" i="3"/>
  <c r="D28" i="3"/>
  <c r="D27" i="3"/>
  <c r="E26" i="3"/>
  <c r="F26" i="3"/>
  <c r="D26" i="3"/>
  <c r="E25" i="3"/>
  <c r="F25" i="3"/>
  <c r="D25" i="3"/>
  <c r="F24" i="3"/>
  <c r="E24" i="3"/>
  <c r="D24" i="3"/>
  <c r="F23" i="3"/>
  <c r="E23" i="3"/>
  <c r="D23" i="3"/>
  <c r="J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3" i="3"/>
  <c r="I3" i="3"/>
  <c r="H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3" i="3"/>
  <c r="I4" i="2"/>
  <c r="J2" i="2"/>
  <c r="L5" i="1"/>
  <c r="N2" i="1"/>
  <c r="H4" i="2"/>
  <c r="G4" i="2"/>
  <c r="L2" i="1"/>
  <c r="G2" i="2"/>
  <c r="D3" i="2"/>
  <c r="D4" i="2"/>
  <c r="D5" i="2"/>
  <c r="D6" i="2"/>
  <c r="D2" i="2"/>
  <c r="C3" i="2"/>
  <c r="C4" i="2"/>
  <c r="C5" i="2"/>
  <c r="C6" i="2"/>
  <c r="C2" i="2"/>
  <c r="A4" i="2"/>
  <c r="K2" i="1"/>
  <c r="I2" i="1"/>
  <c r="G2" i="1"/>
  <c r="F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" i="1"/>
</calcChain>
</file>

<file path=xl/sharedStrings.xml><?xml version="1.0" encoding="utf-8"?>
<sst xmlns="http://schemas.openxmlformats.org/spreadsheetml/2006/main" count="42" uniqueCount="25">
  <si>
    <t>Separación (cm)</t>
  </si>
  <si>
    <t>Capacitancia(nF)</t>
  </si>
  <si>
    <t>Separación (m)</t>
  </si>
  <si>
    <t>m^-1</t>
  </si>
  <si>
    <t>Area</t>
  </si>
  <si>
    <t>Lado (cm)</t>
  </si>
  <si>
    <t>Lado (m)</t>
  </si>
  <si>
    <t>m</t>
  </si>
  <si>
    <t>permitividad</t>
  </si>
  <si>
    <t>Area (m^2)</t>
  </si>
  <si>
    <t>Capacitancia (nF)</t>
  </si>
  <si>
    <t>Distancia (cm)</t>
  </si>
  <si>
    <t>Distancia (m)</t>
  </si>
  <si>
    <t>Permitividad</t>
  </si>
  <si>
    <t>teo</t>
  </si>
  <si>
    <t>Error</t>
  </si>
  <si>
    <t>error</t>
  </si>
  <si>
    <t>Aire</t>
  </si>
  <si>
    <t>Parafina</t>
  </si>
  <si>
    <t>Cuarzo</t>
  </si>
  <si>
    <t>vacio</t>
  </si>
  <si>
    <t>Permitividad SI</t>
  </si>
  <si>
    <t>P relativa</t>
  </si>
  <si>
    <t>P relativa teo</t>
  </si>
  <si>
    <t>error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</si>
</sst>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#,##0.00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xVal>
            <c:numRef>
              <c:f>Distancia!$D$2:$D$21</c:f>
              <c:numCache>
                <c:formatCode>General</c:formatCode>
                <c:ptCount val="20"/>
                <c:pt idx="0">
                  <c:v>200</c:v>
                </c:pt>
                <c:pt idx="1">
                  <c:v>100</c:v>
                </c:pt>
                <c:pt idx="2">
                  <c:v>66.666666666666671</c:v>
                </c:pt>
                <c:pt idx="3">
                  <c:v>50</c:v>
                </c:pt>
                <c:pt idx="4">
                  <c:v>40</c:v>
                </c:pt>
                <c:pt idx="5">
                  <c:v>33.333333333333336</c:v>
                </c:pt>
                <c:pt idx="6">
                  <c:v>28.571428571428569</c:v>
                </c:pt>
                <c:pt idx="7">
                  <c:v>25</c:v>
                </c:pt>
                <c:pt idx="8">
                  <c:v>22.222222222222221</c:v>
                </c:pt>
                <c:pt idx="9">
                  <c:v>20</c:v>
                </c:pt>
                <c:pt idx="10">
                  <c:v>18.181818181818183</c:v>
                </c:pt>
                <c:pt idx="11">
                  <c:v>16.666666666666668</c:v>
                </c:pt>
                <c:pt idx="12">
                  <c:v>15.384615384615383</c:v>
                </c:pt>
                <c:pt idx="13">
                  <c:v>14.285714285714285</c:v>
                </c:pt>
                <c:pt idx="14">
                  <c:v>13.333333333333334</c:v>
                </c:pt>
                <c:pt idx="15">
                  <c:v>12.5</c:v>
                </c:pt>
                <c:pt idx="16">
                  <c:v>11.76470588235294</c:v>
                </c:pt>
                <c:pt idx="17">
                  <c:v>11.111111111111111</c:v>
                </c:pt>
                <c:pt idx="18">
                  <c:v>10.526315789473685</c:v>
                </c:pt>
                <c:pt idx="19">
                  <c:v>10</c:v>
                </c:pt>
              </c:numCache>
            </c:numRef>
          </c:xVal>
          <c:yVal>
            <c:numRef>
              <c:f>Distancia!$B$2:$B$21</c:f>
              <c:numCache>
                <c:formatCode>General</c:formatCode>
                <c:ptCount val="20"/>
                <c:pt idx="0">
                  <c:v>7.0800000000000002E-2</c:v>
                </c:pt>
                <c:pt idx="1">
                  <c:v>3.5400000000000001E-2</c:v>
                </c:pt>
                <c:pt idx="2">
                  <c:v>2.3599999999999999E-2</c:v>
                </c:pt>
                <c:pt idx="3">
                  <c:v>1.77E-2</c:v>
                </c:pt>
                <c:pt idx="4">
                  <c:v>1.4200000000000001E-2</c:v>
                </c:pt>
                <c:pt idx="5">
                  <c:v>1.18E-2</c:v>
                </c:pt>
                <c:pt idx="6">
                  <c:v>1.01E-2</c:v>
                </c:pt>
                <c:pt idx="7">
                  <c:v>8.8999999999999999E-3</c:v>
                </c:pt>
                <c:pt idx="8">
                  <c:v>7.9000000000000008E-3</c:v>
                </c:pt>
                <c:pt idx="9">
                  <c:v>7.1000000000000004E-3</c:v>
                </c:pt>
                <c:pt idx="10">
                  <c:v>6.4000000000000003E-3</c:v>
                </c:pt>
                <c:pt idx="11">
                  <c:v>5.8999999999999999E-3</c:v>
                </c:pt>
                <c:pt idx="12">
                  <c:v>5.4000000000000003E-3</c:v>
                </c:pt>
                <c:pt idx="13">
                  <c:v>5.1000000000000004E-3</c:v>
                </c:pt>
                <c:pt idx="14">
                  <c:v>4.7000000000000002E-3</c:v>
                </c:pt>
                <c:pt idx="15">
                  <c:v>4.4000000000000003E-3</c:v>
                </c:pt>
                <c:pt idx="16">
                  <c:v>4.1999999999999997E-3</c:v>
                </c:pt>
                <c:pt idx="17">
                  <c:v>3.8999999999999998E-3</c:v>
                </c:pt>
                <c:pt idx="18">
                  <c:v>3.7000000000000002E-3</c:v>
                </c:pt>
                <c:pt idx="19">
                  <c:v>3.5000000000000001E-3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C4-464F-ACCA-F81FC7FB35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3029311"/>
        <c:axId val="1073036799"/>
      </c:scatterChart>
      <c:valAx>
        <c:axId val="1073029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73036799"/>
        <c:crosses val="autoZero"/>
        <c:crossBetween val="midCat"/>
      </c:valAx>
      <c:valAx>
        <c:axId val="107303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730293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4.0650262467191653E-2"/>
                  <c:y val="-4.6121318168562261E-3"/>
                </c:manualLayout>
              </c:layout>
              <c:numFmt formatCode="#,##0.00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xVal>
            <c:numRef>
              <c:f>Area!$D$2:$D$6</c:f>
              <c:numCache>
                <c:formatCode>General</c:formatCode>
                <c:ptCount val="5"/>
                <c:pt idx="0">
                  <c:v>1.0000000000000002E-2</c:v>
                </c:pt>
                <c:pt idx="1">
                  <c:v>2.2499999999999999E-2</c:v>
                </c:pt>
                <c:pt idx="2">
                  <c:v>4.0000000000000008E-2</c:v>
                </c:pt>
                <c:pt idx="3">
                  <c:v>6.25E-2</c:v>
                </c:pt>
                <c:pt idx="4">
                  <c:v>0.09</c:v>
                </c:pt>
              </c:numCache>
            </c:numRef>
          </c:xVal>
          <c:yVal>
            <c:numRef>
              <c:f>Area!$E$2:$E$6</c:f>
              <c:numCache>
                <c:formatCode>General</c:formatCode>
                <c:ptCount val="5"/>
                <c:pt idx="0">
                  <c:v>4.4000000000000003E-3</c:v>
                </c:pt>
                <c:pt idx="1">
                  <c:v>0.01</c:v>
                </c:pt>
                <c:pt idx="2">
                  <c:v>1.77E-2</c:v>
                </c:pt>
                <c:pt idx="3">
                  <c:v>2.7699999999999999E-2</c:v>
                </c:pt>
                <c:pt idx="4">
                  <c:v>3.9800000000000002E-2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C9-4076-B4E0-17006ED9F6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8945839"/>
        <c:axId val="798953743"/>
      </c:scatterChart>
      <c:valAx>
        <c:axId val="798945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98953743"/>
        <c:crosses val="autoZero"/>
        <c:crossBetween val="midCat"/>
      </c:valAx>
      <c:valAx>
        <c:axId val="798953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989458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xVal>
            <c:numRef>
              <c:f>Dielectrico!$C$3:$C$22</c:f>
              <c:numCache>
                <c:formatCode>General</c:formatCode>
                <c:ptCount val="20"/>
                <c:pt idx="0">
                  <c:v>200</c:v>
                </c:pt>
                <c:pt idx="1">
                  <c:v>100</c:v>
                </c:pt>
                <c:pt idx="2">
                  <c:v>66.666666666666671</c:v>
                </c:pt>
                <c:pt idx="3">
                  <c:v>50</c:v>
                </c:pt>
                <c:pt idx="4">
                  <c:v>40</c:v>
                </c:pt>
                <c:pt idx="5">
                  <c:v>33.333333333333336</c:v>
                </c:pt>
                <c:pt idx="6">
                  <c:v>28.571428571428569</c:v>
                </c:pt>
                <c:pt idx="7">
                  <c:v>25</c:v>
                </c:pt>
                <c:pt idx="8">
                  <c:v>22.222222222222221</c:v>
                </c:pt>
                <c:pt idx="9">
                  <c:v>20</c:v>
                </c:pt>
                <c:pt idx="10">
                  <c:v>18.181818181818183</c:v>
                </c:pt>
                <c:pt idx="11">
                  <c:v>16.666666666666668</c:v>
                </c:pt>
                <c:pt idx="12">
                  <c:v>15.384615384615383</c:v>
                </c:pt>
                <c:pt idx="13">
                  <c:v>14.285714285714285</c:v>
                </c:pt>
                <c:pt idx="14">
                  <c:v>13.333333333333334</c:v>
                </c:pt>
                <c:pt idx="15">
                  <c:v>12.5</c:v>
                </c:pt>
                <c:pt idx="16">
                  <c:v>11.76470588235294</c:v>
                </c:pt>
                <c:pt idx="17">
                  <c:v>11.111111111111111</c:v>
                </c:pt>
                <c:pt idx="18">
                  <c:v>10.526315789473685</c:v>
                </c:pt>
                <c:pt idx="19">
                  <c:v>10</c:v>
                </c:pt>
              </c:numCache>
            </c:numRef>
          </c:xVal>
          <c:yVal>
            <c:numRef>
              <c:f>Dielectrico!$D$3:$D$22</c:f>
              <c:numCache>
                <c:formatCode>General</c:formatCode>
                <c:ptCount val="20"/>
                <c:pt idx="0">
                  <c:v>7.0800000000000002E-2</c:v>
                </c:pt>
                <c:pt idx="1">
                  <c:v>3.5400000000000001E-2</c:v>
                </c:pt>
                <c:pt idx="2">
                  <c:v>2.3599999999999999E-2</c:v>
                </c:pt>
                <c:pt idx="3">
                  <c:v>1.77E-2</c:v>
                </c:pt>
                <c:pt idx="4">
                  <c:v>1.4200000000000001E-2</c:v>
                </c:pt>
                <c:pt idx="5">
                  <c:v>1.18E-2</c:v>
                </c:pt>
                <c:pt idx="6">
                  <c:v>1.01E-2</c:v>
                </c:pt>
                <c:pt idx="7">
                  <c:v>8.8999999999999999E-3</c:v>
                </c:pt>
                <c:pt idx="8">
                  <c:v>7.9000000000000008E-3</c:v>
                </c:pt>
                <c:pt idx="9">
                  <c:v>7.1000000000000004E-3</c:v>
                </c:pt>
                <c:pt idx="10">
                  <c:v>6.4000000000000003E-3</c:v>
                </c:pt>
                <c:pt idx="11">
                  <c:v>5.8999999999999999E-3</c:v>
                </c:pt>
                <c:pt idx="12">
                  <c:v>5.4000000000000003E-3</c:v>
                </c:pt>
                <c:pt idx="13">
                  <c:v>5.1000000000000004E-3</c:v>
                </c:pt>
                <c:pt idx="14">
                  <c:v>4.7000000000000002E-3</c:v>
                </c:pt>
                <c:pt idx="15">
                  <c:v>4.4000000000000003E-3</c:v>
                </c:pt>
                <c:pt idx="16">
                  <c:v>4.1999999999999997E-3</c:v>
                </c:pt>
                <c:pt idx="17">
                  <c:v>3.8999999999999998E-3</c:v>
                </c:pt>
                <c:pt idx="18">
                  <c:v>3.7000000000000002E-3</c:v>
                </c:pt>
                <c:pt idx="19">
                  <c:v>3.5000000000000001E-3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A6-45C1-A01C-6C9A555232F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xVal>
            <c:numRef>
              <c:f>Dielectrico!$C$3:$C$22</c:f>
              <c:numCache>
                <c:formatCode>General</c:formatCode>
                <c:ptCount val="20"/>
                <c:pt idx="0">
                  <c:v>200</c:v>
                </c:pt>
                <c:pt idx="1">
                  <c:v>100</c:v>
                </c:pt>
                <c:pt idx="2">
                  <c:v>66.666666666666671</c:v>
                </c:pt>
                <c:pt idx="3">
                  <c:v>50</c:v>
                </c:pt>
                <c:pt idx="4">
                  <c:v>40</c:v>
                </c:pt>
                <c:pt idx="5">
                  <c:v>33.333333333333336</c:v>
                </c:pt>
                <c:pt idx="6">
                  <c:v>28.571428571428569</c:v>
                </c:pt>
                <c:pt idx="7">
                  <c:v>25</c:v>
                </c:pt>
                <c:pt idx="8">
                  <c:v>22.222222222222221</c:v>
                </c:pt>
                <c:pt idx="9">
                  <c:v>20</c:v>
                </c:pt>
                <c:pt idx="10">
                  <c:v>18.181818181818183</c:v>
                </c:pt>
                <c:pt idx="11">
                  <c:v>16.666666666666668</c:v>
                </c:pt>
                <c:pt idx="12">
                  <c:v>15.384615384615383</c:v>
                </c:pt>
                <c:pt idx="13">
                  <c:v>14.285714285714285</c:v>
                </c:pt>
                <c:pt idx="14">
                  <c:v>13.333333333333334</c:v>
                </c:pt>
                <c:pt idx="15">
                  <c:v>12.5</c:v>
                </c:pt>
                <c:pt idx="16">
                  <c:v>11.76470588235294</c:v>
                </c:pt>
                <c:pt idx="17">
                  <c:v>11.111111111111111</c:v>
                </c:pt>
                <c:pt idx="18">
                  <c:v>10.526315789473685</c:v>
                </c:pt>
                <c:pt idx="19">
                  <c:v>10</c:v>
                </c:pt>
              </c:numCache>
            </c:numRef>
          </c:xVal>
          <c:yVal>
            <c:numRef>
              <c:f>Dielectrico!$E$3:$E$22</c:f>
              <c:numCache>
                <c:formatCode>General</c:formatCode>
                <c:ptCount val="20"/>
                <c:pt idx="0">
                  <c:v>0.1487</c:v>
                </c:pt>
                <c:pt idx="1">
                  <c:v>7.4399999999999994E-2</c:v>
                </c:pt>
                <c:pt idx="2">
                  <c:v>4.9599999999999998E-2</c:v>
                </c:pt>
                <c:pt idx="3">
                  <c:v>3.7199999999999997E-2</c:v>
                </c:pt>
                <c:pt idx="4">
                  <c:v>2.9700000000000001E-2</c:v>
                </c:pt>
                <c:pt idx="5">
                  <c:v>2.4799999999999999E-2</c:v>
                </c:pt>
                <c:pt idx="6">
                  <c:v>2.12E-2</c:v>
                </c:pt>
                <c:pt idx="7">
                  <c:v>1.8599999999999998E-2</c:v>
                </c:pt>
                <c:pt idx="8">
                  <c:v>1.6500000000000001E-2</c:v>
                </c:pt>
                <c:pt idx="9">
                  <c:v>1.49E-2</c:v>
                </c:pt>
                <c:pt idx="10">
                  <c:v>1.35E-2</c:v>
                </c:pt>
                <c:pt idx="11">
                  <c:v>1.24E-2</c:v>
                </c:pt>
                <c:pt idx="12">
                  <c:v>1.14E-2</c:v>
                </c:pt>
                <c:pt idx="13">
                  <c:v>1.06E-2</c:v>
                </c:pt>
                <c:pt idx="14">
                  <c:v>9.9000000000000008E-3</c:v>
                </c:pt>
                <c:pt idx="15">
                  <c:v>9.2999999999999992E-3</c:v>
                </c:pt>
                <c:pt idx="16">
                  <c:v>8.6999999999999994E-3</c:v>
                </c:pt>
                <c:pt idx="17">
                  <c:v>8.3000000000000001E-3</c:v>
                </c:pt>
                <c:pt idx="18">
                  <c:v>7.7999999999999996E-3</c:v>
                </c:pt>
                <c:pt idx="19">
                  <c:v>7.4000000000000003E-3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3A6-45C1-A01C-6C9A555232F4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xVal>
            <c:numRef>
              <c:f>Dielectrico!$C$3:$C$22</c:f>
              <c:numCache>
                <c:formatCode>General</c:formatCode>
                <c:ptCount val="20"/>
                <c:pt idx="0">
                  <c:v>200</c:v>
                </c:pt>
                <c:pt idx="1">
                  <c:v>100</c:v>
                </c:pt>
                <c:pt idx="2">
                  <c:v>66.666666666666671</c:v>
                </c:pt>
                <c:pt idx="3">
                  <c:v>50</c:v>
                </c:pt>
                <c:pt idx="4">
                  <c:v>40</c:v>
                </c:pt>
                <c:pt idx="5">
                  <c:v>33.333333333333336</c:v>
                </c:pt>
                <c:pt idx="6">
                  <c:v>28.571428571428569</c:v>
                </c:pt>
                <c:pt idx="7">
                  <c:v>25</c:v>
                </c:pt>
                <c:pt idx="8">
                  <c:v>22.222222222222221</c:v>
                </c:pt>
                <c:pt idx="9">
                  <c:v>20</c:v>
                </c:pt>
                <c:pt idx="10">
                  <c:v>18.181818181818183</c:v>
                </c:pt>
                <c:pt idx="11">
                  <c:v>16.666666666666668</c:v>
                </c:pt>
                <c:pt idx="12">
                  <c:v>15.384615384615383</c:v>
                </c:pt>
                <c:pt idx="13">
                  <c:v>14.285714285714285</c:v>
                </c:pt>
                <c:pt idx="14">
                  <c:v>13.333333333333334</c:v>
                </c:pt>
                <c:pt idx="15">
                  <c:v>12.5</c:v>
                </c:pt>
                <c:pt idx="16">
                  <c:v>11.76470588235294</c:v>
                </c:pt>
                <c:pt idx="17">
                  <c:v>11.111111111111111</c:v>
                </c:pt>
                <c:pt idx="18">
                  <c:v>10.526315789473685</c:v>
                </c:pt>
                <c:pt idx="19">
                  <c:v>10</c:v>
                </c:pt>
              </c:numCache>
            </c:numRef>
          </c:xVal>
          <c:yVal>
            <c:numRef>
              <c:f>Dielectrico!$F$3:$F$22</c:f>
              <c:numCache>
                <c:formatCode>General</c:formatCode>
                <c:ptCount val="20"/>
                <c:pt idx="0">
                  <c:v>0.31869999999999998</c:v>
                </c:pt>
                <c:pt idx="1">
                  <c:v>0.15939999999999999</c:v>
                </c:pt>
                <c:pt idx="2">
                  <c:v>0.1062</c:v>
                </c:pt>
                <c:pt idx="3">
                  <c:v>7.9699999999999993E-2</c:v>
                </c:pt>
                <c:pt idx="4">
                  <c:v>6.3700000000000007E-2</c:v>
                </c:pt>
                <c:pt idx="5">
                  <c:v>5.3100000000000001E-2</c:v>
                </c:pt>
                <c:pt idx="6">
                  <c:v>4.5499999999999999E-2</c:v>
                </c:pt>
                <c:pt idx="7">
                  <c:v>3.9800000000000002E-2</c:v>
                </c:pt>
                <c:pt idx="8">
                  <c:v>3.5400000000000001E-2</c:v>
                </c:pt>
                <c:pt idx="9">
                  <c:v>3.1899999999999998E-2</c:v>
                </c:pt>
                <c:pt idx="10">
                  <c:v>2.9000000000000001E-2</c:v>
                </c:pt>
                <c:pt idx="11">
                  <c:v>2.6599999999999999E-2</c:v>
                </c:pt>
                <c:pt idx="12">
                  <c:v>2.4500000000000001E-2</c:v>
                </c:pt>
                <c:pt idx="13">
                  <c:v>2.2800000000000001E-2</c:v>
                </c:pt>
                <c:pt idx="14">
                  <c:v>2.12E-2</c:v>
                </c:pt>
                <c:pt idx="15">
                  <c:v>1.9900000000000001E-2</c:v>
                </c:pt>
                <c:pt idx="16">
                  <c:v>1.8700000000000001E-2</c:v>
                </c:pt>
                <c:pt idx="17">
                  <c:v>1.77E-2</c:v>
                </c:pt>
                <c:pt idx="18">
                  <c:v>1.6799999999999999E-2</c:v>
                </c:pt>
                <c:pt idx="19">
                  <c:v>1.5900000000000001E-2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3A6-45C1-A01C-6C9A555232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3469487"/>
        <c:axId val="803467823"/>
      </c:scatterChart>
      <c:valAx>
        <c:axId val="803469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03467823"/>
        <c:crosses val="autoZero"/>
        <c:crossBetween val="midCat"/>
      </c:valAx>
      <c:valAx>
        <c:axId val="803467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034694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365760</xdr:colOff>
      <xdr:row>8</xdr:row>
      <xdr:rowOff>45720</xdr:rowOff>
    </xdr:from>
    <xdr:to>
      <xdr:col>11</xdr:col>
      <xdr:colOff>182880</xdr:colOff>
      <xdr:row>23</xdr:row>
      <xdr:rowOff>45720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3A4C2AA-2669-4BE3-8B89-A83E00229D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548640</xdr:colOff>
      <xdr:row>7</xdr:row>
      <xdr:rowOff>91440</xdr:rowOff>
    </xdr:from>
    <xdr:to>
      <xdr:col>11</xdr:col>
      <xdr:colOff>365760</xdr:colOff>
      <xdr:row>22</xdr:row>
      <xdr:rowOff>91440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04D399B-05C5-4DD3-A4EB-03CEB5E97A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563880</xdr:colOff>
      <xdr:row>10</xdr:row>
      <xdr:rowOff>144780</xdr:rowOff>
    </xdr:from>
    <xdr:to>
      <xdr:col>17</xdr:col>
      <xdr:colOff>381000</xdr:colOff>
      <xdr:row>25</xdr:row>
      <xdr:rowOff>144780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A09DB16-2ED0-4273-92D2-8BD1033128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11F49-31EC-4ACC-AAC5-73A479469FA5}">
  <dimension ref="A1:N21"/>
  <sheetViews>
    <sheetView workbookViewId="0">
      <selection activeCell="N1" sqref="N1:N2"/>
    </sheetView>
  </sheetViews>
  <sheetFormatPr baseColWidth="10" defaultRowHeight="14.4" x14ac:dyDescent="0.3"/>
  <cols>
    <col min="1" max="1" width="14" bestFit="1" customWidth="1"/>
    <col min="2" max="2" width="14.44140625" bestFit="1" customWidth="1"/>
    <col min="3" max="3" width="13.109375" bestFit="1" customWidth="1"/>
    <col min="12" max="12" width="12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4</v>
      </c>
      <c r="I1" t="s">
        <v>7</v>
      </c>
      <c r="K1" t="s">
        <v>8</v>
      </c>
      <c r="L1" t="s">
        <v>13</v>
      </c>
      <c r="N1" t="s">
        <v>14</v>
      </c>
    </row>
    <row r="2" spans="1:14" x14ac:dyDescent="0.3">
      <c r="A2">
        <v>0.5</v>
      </c>
      <c r="B2">
        <v>7.0800000000000002E-2</v>
      </c>
      <c r="C2">
        <f>A2/100</f>
        <v>5.0000000000000001E-3</v>
      </c>
      <c r="D2">
        <f>1/C2</f>
        <v>200</v>
      </c>
      <c r="E2">
        <v>20</v>
      </c>
      <c r="F2">
        <f>E2/100</f>
        <v>0.2</v>
      </c>
      <c r="G2">
        <f>F2*F2</f>
        <v>4.0000000000000008E-2</v>
      </c>
      <c r="I2">
        <f>SLOPE(B2:B21,D2:D21)</f>
        <v>3.5406139962400486E-4</v>
      </c>
      <c r="K2">
        <f>I2/G2</f>
        <v>8.8515349906001205E-3</v>
      </c>
      <c r="L2">
        <f>K2*10^-9</f>
        <v>8.8515349906001211E-12</v>
      </c>
      <c r="N2">
        <f>8.854*10^-12</f>
        <v>8.8539999999999992E-12</v>
      </c>
    </row>
    <row r="3" spans="1:14" x14ac:dyDescent="0.3">
      <c r="A3">
        <v>1</v>
      </c>
      <c r="B3">
        <v>3.5400000000000001E-2</v>
      </c>
      <c r="C3">
        <f t="shared" ref="C3:C21" si="0">A3/100</f>
        <v>0.01</v>
      </c>
      <c r="D3">
        <f t="shared" ref="D3:D21" si="1">1/C3</f>
        <v>100</v>
      </c>
    </row>
    <row r="4" spans="1:14" x14ac:dyDescent="0.3">
      <c r="A4">
        <v>1.5</v>
      </c>
      <c r="B4">
        <v>2.3599999999999999E-2</v>
      </c>
      <c r="C4">
        <f t="shared" si="0"/>
        <v>1.4999999999999999E-2</v>
      </c>
      <c r="D4">
        <f t="shared" si="1"/>
        <v>66.666666666666671</v>
      </c>
      <c r="L4" t="s">
        <v>15</v>
      </c>
    </row>
    <row r="5" spans="1:14" x14ac:dyDescent="0.3">
      <c r="A5">
        <v>2</v>
      </c>
      <c r="B5">
        <v>1.77E-2</v>
      </c>
      <c r="C5">
        <f t="shared" si="0"/>
        <v>0.02</v>
      </c>
      <c r="D5">
        <f t="shared" si="1"/>
        <v>50</v>
      </c>
      <c r="L5">
        <f>(ABS(L2-N2)/N2)*100</f>
        <v>2.7840630222251632E-2</v>
      </c>
    </row>
    <row r="6" spans="1:14" x14ac:dyDescent="0.3">
      <c r="A6">
        <v>2.5</v>
      </c>
      <c r="B6">
        <v>1.4200000000000001E-2</v>
      </c>
      <c r="C6">
        <f t="shared" si="0"/>
        <v>2.5000000000000001E-2</v>
      </c>
      <c r="D6">
        <f t="shared" si="1"/>
        <v>40</v>
      </c>
    </row>
    <row r="7" spans="1:14" x14ac:dyDescent="0.3">
      <c r="A7">
        <v>3</v>
      </c>
      <c r="B7">
        <v>1.18E-2</v>
      </c>
      <c r="C7">
        <f t="shared" si="0"/>
        <v>0.03</v>
      </c>
      <c r="D7">
        <f t="shared" si="1"/>
        <v>33.333333333333336</v>
      </c>
    </row>
    <row r="8" spans="1:14" x14ac:dyDescent="0.3">
      <c r="A8">
        <v>3.5</v>
      </c>
      <c r="B8">
        <v>1.01E-2</v>
      </c>
      <c r="C8">
        <f t="shared" si="0"/>
        <v>3.5000000000000003E-2</v>
      </c>
      <c r="D8">
        <f t="shared" si="1"/>
        <v>28.571428571428569</v>
      </c>
    </row>
    <row r="9" spans="1:14" x14ac:dyDescent="0.3">
      <c r="A9">
        <v>4</v>
      </c>
      <c r="B9">
        <v>8.8999999999999999E-3</v>
      </c>
      <c r="C9">
        <f t="shared" si="0"/>
        <v>0.04</v>
      </c>
      <c r="D9">
        <f t="shared" si="1"/>
        <v>25</v>
      </c>
    </row>
    <row r="10" spans="1:14" x14ac:dyDescent="0.3">
      <c r="A10">
        <v>4.5</v>
      </c>
      <c r="B10">
        <v>7.9000000000000008E-3</v>
      </c>
      <c r="C10">
        <f t="shared" si="0"/>
        <v>4.4999999999999998E-2</v>
      </c>
      <c r="D10">
        <f t="shared" si="1"/>
        <v>22.222222222222221</v>
      </c>
    </row>
    <row r="11" spans="1:14" x14ac:dyDescent="0.3">
      <c r="A11">
        <v>5</v>
      </c>
      <c r="B11">
        <v>7.1000000000000004E-3</v>
      </c>
      <c r="C11">
        <f t="shared" si="0"/>
        <v>0.05</v>
      </c>
      <c r="D11">
        <f t="shared" si="1"/>
        <v>20</v>
      </c>
    </row>
    <row r="12" spans="1:14" x14ac:dyDescent="0.3">
      <c r="A12">
        <v>5.5</v>
      </c>
      <c r="B12">
        <v>6.4000000000000003E-3</v>
      </c>
      <c r="C12">
        <f t="shared" si="0"/>
        <v>5.5E-2</v>
      </c>
      <c r="D12">
        <f t="shared" si="1"/>
        <v>18.181818181818183</v>
      </c>
    </row>
    <row r="13" spans="1:14" x14ac:dyDescent="0.3">
      <c r="A13">
        <v>6</v>
      </c>
      <c r="B13">
        <v>5.8999999999999999E-3</v>
      </c>
      <c r="C13">
        <f t="shared" si="0"/>
        <v>0.06</v>
      </c>
      <c r="D13">
        <f t="shared" si="1"/>
        <v>16.666666666666668</v>
      </c>
    </row>
    <row r="14" spans="1:14" x14ac:dyDescent="0.3">
      <c r="A14">
        <v>6.5</v>
      </c>
      <c r="B14">
        <v>5.4000000000000003E-3</v>
      </c>
      <c r="C14">
        <f t="shared" si="0"/>
        <v>6.5000000000000002E-2</v>
      </c>
      <c r="D14">
        <f t="shared" si="1"/>
        <v>15.384615384615383</v>
      </c>
    </row>
    <row r="15" spans="1:14" x14ac:dyDescent="0.3">
      <c r="A15">
        <v>7</v>
      </c>
      <c r="B15">
        <v>5.1000000000000004E-3</v>
      </c>
      <c r="C15">
        <f t="shared" si="0"/>
        <v>7.0000000000000007E-2</v>
      </c>
      <c r="D15">
        <f t="shared" si="1"/>
        <v>14.285714285714285</v>
      </c>
    </row>
    <row r="16" spans="1:14" x14ac:dyDescent="0.3">
      <c r="A16">
        <v>7.5</v>
      </c>
      <c r="B16">
        <v>4.7000000000000002E-3</v>
      </c>
      <c r="C16">
        <f t="shared" si="0"/>
        <v>7.4999999999999997E-2</v>
      </c>
      <c r="D16">
        <f t="shared" si="1"/>
        <v>13.333333333333334</v>
      </c>
    </row>
    <row r="17" spans="1:4" x14ac:dyDescent="0.3">
      <c r="A17">
        <v>8</v>
      </c>
      <c r="B17">
        <v>4.4000000000000003E-3</v>
      </c>
      <c r="C17">
        <f t="shared" si="0"/>
        <v>0.08</v>
      </c>
      <c r="D17">
        <f t="shared" si="1"/>
        <v>12.5</v>
      </c>
    </row>
    <row r="18" spans="1:4" x14ac:dyDescent="0.3">
      <c r="A18">
        <v>8.5</v>
      </c>
      <c r="B18">
        <v>4.1999999999999997E-3</v>
      </c>
      <c r="C18">
        <f t="shared" si="0"/>
        <v>8.5000000000000006E-2</v>
      </c>
      <c r="D18">
        <f t="shared" si="1"/>
        <v>11.76470588235294</v>
      </c>
    </row>
    <row r="19" spans="1:4" x14ac:dyDescent="0.3">
      <c r="A19">
        <v>9</v>
      </c>
      <c r="B19">
        <v>3.8999999999999998E-3</v>
      </c>
      <c r="C19">
        <f t="shared" si="0"/>
        <v>0.09</v>
      </c>
      <c r="D19">
        <f t="shared" si="1"/>
        <v>11.111111111111111</v>
      </c>
    </row>
    <row r="20" spans="1:4" x14ac:dyDescent="0.3">
      <c r="A20">
        <v>9.5</v>
      </c>
      <c r="B20">
        <v>3.7000000000000002E-3</v>
      </c>
      <c r="C20">
        <f t="shared" si="0"/>
        <v>9.5000000000000001E-2</v>
      </c>
      <c r="D20">
        <f t="shared" si="1"/>
        <v>10.526315789473685</v>
      </c>
    </row>
    <row r="21" spans="1:4" x14ac:dyDescent="0.3">
      <c r="A21">
        <v>10</v>
      </c>
      <c r="B21">
        <v>3.5000000000000001E-3</v>
      </c>
      <c r="C21">
        <f t="shared" si="0"/>
        <v>0.1</v>
      </c>
      <c r="D21">
        <f t="shared" si="1"/>
        <v>10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F7E2A-0283-43F0-A8B0-3BE73CE5E9D8}">
  <dimension ref="A1:J6"/>
  <sheetViews>
    <sheetView workbookViewId="0">
      <selection activeCell="I5" sqref="I5"/>
    </sheetView>
  </sheetViews>
  <sheetFormatPr baseColWidth="10" defaultRowHeight="14.4" x14ac:dyDescent="0.3"/>
  <cols>
    <col min="1" max="1" width="12.44140625" bestFit="1" customWidth="1"/>
    <col min="5" max="5" width="14.88671875" bestFit="1" customWidth="1"/>
    <col min="8" max="8" width="12" bestFit="1" customWidth="1"/>
  </cols>
  <sheetData>
    <row r="1" spans="1:10" x14ac:dyDescent="0.3">
      <c r="A1" t="s">
        <v>11</v>
      </c>
      <c r="B1" t="s">
        <v>5</v>
      </c>
      <c r="C1" t="s">
        <v>6</v>
      </c>
      <c r="D1" t="s">
        <v>9</v>
      </c>
      <c r="E1" t="s">
        <v>10</v>
      </c>
      <c r="G1" t="s">
        <v>7</v>
      </c>
      <c r="J1" t="s">
        <v>14</v>
      </c>
    </row>
    <row r="2" spans="1:10" x14ac:dyDescent="0.3">
      <c r="A2">
        <v>2</v>
      </c>
      <c r="B2">
        <v>10</v>
      </c>
      <c r="C2">
        <f>B2/100</f>
        <v>0.1</v>
      </c>
      <c r="D2">
        <f>C2*C2</f>
        <v>1.0000000000000002E-2</v>
      </c>
      <c r="E2">
        <v>4.4000000000000003E-3</v>
      </c>
      <c r="G2">
        <f>SLOPE(E2:E6,D2:D6)</f>
        <v>0.44238532110091749</v>
      </c>
      <c r="J2">
        <f>8.854*10^-12</f>
        <v>8.8539999999999992E-12</v>
      </c>
    </row>
    <row r="3" spans="1:10" x14ac:dyDescent="0.3">
      <c r="A3" t="s">
        <v>12</v>
      </c>
      <c r="B3">
        <v>15</v>
      </c>
      <c r="C3">
        <f t="shared" ref="C3:C6" si="0">B3/100</f>
        <v>0.15</v>
      </c>
      <c r="D3">
        <f t="shared" ref="D3:D6" si="1">C3*C3</f>
        <v>2.2499999999999999E-2</v>
      </c>
      <c r="E3">
        <v>0.01</v>
      </c>
      <c r="G3" t="s">
        <v>13</v>
      </c>
      <c r="H3" t="s">
        <v>8</v>
      </c>
      <c r="I3" t="s">
        <v>16</v>
      </c>
    </row>
    <row r="4" spans="1:10" x14ac:dyDescent="0.3">
      <c r="A4">
        <f>A2/100</f>
        <v>0.02</v>
      </c>
      <c r="B4">
        <v>20</v>
      </c>
      <c r="C4">
        <f t="shared" si="0"/>
        <v>0.2</v>
      </c>
      <c r="D4">
        <f t="shared" si="1"/>
        <v>4.0000000000000008E-2</v>
      </c>
      <c r="E4">
        <v>1.77E-2</v>
      </c>
      <c r="G4">
        <f>G2*A4</f>
        <v>8.8477064220183494E-3</v>
      </c>
      <c r="H4">
        <f>G4*10^-9</f>
        <v>8.8477064220183504E-12</v>
      </c>
      <c r="I4">
        <f>(ABS(H4-J2)/J2)*100</f>
        <v>7.1081748155058341E-2</v>
      </c>
    </row>
    <row r="5" spans="1:10" x14ac:dyDescent="0.3">
      <c r="B5">
        <v>25</v>
      </c>
      <c r="C5">
        <f t="shared" si="0"/>
        <v>0.25</v>
      </c>
      <c r="D5">
        <f t="shared" si="1"/>
        <v>6.25E-2</v>
      </c>
      <c r="E5">
        <v>2.7699999999999999E-2</v>
      </c>
    </row>
    <row r="6" spans="1:10" x14ac:dyDescent="0.3">
      <c r="B6">
        <v>30</v>
      </c>
      <c r="C6">
        <f t="shared" si="0"/>
        <v>0.3</v>
      </c>
      <c r="D6">
        <f t="shared" si="1"/>
        <v>0.09</v>
      </c>
      <c r="E6">
        <v>3.9800000000000002E-2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944DC-34D7-4C6C-A289-F4AF961F3C81}">
  <dimension ref="A1:J28"/>
  <sheetViews>
    <sheetView tabSelected="1" workbookViewId="0">
      <selection activeCell="L5" sqref="L5"/>
    </sheetView>
  </sheetViews>
  <sheetFormatPr baseColWidth="10" defaultRowHeight="14.4" x14ac:dyDescent="0.3"/>
  <cols>
    <col min="1" max="1" width="12.44140625" bestFit="1" customWidth="1"/>
    <col min="3" max="3" width="13" bestFit="1" customWidth="1"/>
    <col min="4" max="6" width="14.88671875" bestFit="1" customWidth="1"/>
    <col min="7" max="7" width="9" bestFit="1" customWidth="1"/>
    <col min="8" max="8" width="8.109375" bestFit="1" customWidth="1"/>
    <col min="9" max="9" width="9.88671875" bestFit="1" customWidth="1"/>
  </cols>
  <sheetData>
    <row r="1" spans="1:10" x14ac:dyDescent="0.3">
      <c r="D1" s="1" t="s">
        <v>17</v>
      </c>
      <c r="E1" s="1" t="s">
        <v>18</v>
      </c>
      <c r="F1" s="1" t="s">
        <v>19</v>
      </c>
    </row>
    <row r="2" spans="1:10" x14ac:dyDescent="0.3">
      <c r="A2" s="1" t="s">
        <v>11</v>
      </c>
      <c r="B2" s="1" t="s">
        <v>12</v>
      </c>
      <c r="C2" s="1" t="s">
        <v>3</v>
      </c>
      <c r="D2" s="1" t="s">
        <v>10</v>
      </c>
      <c r="E2" s="1" t="s">
        <v>10</v>
      </c>
      <c r="F2" s="1" t="s">
        <v>10</v>
      </c>
      <c r="G2" s="1" t="s">
        <v>5</v>
      </c>
      <c r="H2" s="1" t="s">
        <v>6</v>
      </c>
      <c r="I2" s="1" t="s">
        <v>9</v>
      </c>
      <c r="J2" s="1" t="s">
        <v>20</v>
      </c>
    </row>
    <row r="3" spans="1:10" x14ac:dyDescent="0.3">
      <c r="A3" s="1">
        <v>0.5</v>
      </c>
      <c r="B3" s="1">
        <f>A3/100</f>
        <v>5.0000000000000001E-3</v>
      </c>
      <c r="C3" s="1">
        <f>1/B3</f>
        <v>200</v>
      </c>
      <c r="D3" s="1">
        <v>7.0800000000000002E-2</v>
      </c>
      <c r="E3" s="1">
        <v>0.1487</v>
      </c>
      <c r="F3" s="1">
        <v>0.31869999999999998</v>
      </c>
      <c r="G3" s="1">
        <v>20</v>
      </c>
      <c r="H3" s="1">
        <f>G3/100</f>
        <v>0.2</v>
      </c>
      <c r="I3" s="1">
        <f>H3*H3</f>
        <v>4.0000000000000008E-2</v>
      </c>
      <c r="J3" s="1">
        <f>8.854*10^-12</f>
        <v>8.8539999999999992E-12</v>
      </c>
    </row>
    <row r="4" spans="1:10" x14ac:dyDescent="0.3">
      <c r="A4" s="1">
        <v>1</v>
      </c>
      <c r="B4" s="1">
        <f t="shared" ref="B4:B22" si="0">A4/100</f>
        <v>0.01</v>
      </c>
      <c r="C4" s="1">
        <f t="shared" ref="C4:C22" si="1">1/B4</f>
        <v>100</v>
      </c>
      <c r="D4" s="1">
        <v>3.5400000000000001E-2</v>
      </c>
      <c r="E4" s="1">
        <v>7.4399999999999994E-2</v>
      </c>
      <c r="F4" s="1">
        <v>0.15939999999999999</v>
      </c>
    </row>
    <row r="5" spans="1:10" x14ac:dyDescent="0.3">
      <c r="A5" s="1">
        <v>1.5</v>
      </c>
      <c r="B5" s="1">
        <f t="shared" si="0"/>
        <v>1.4999999999999999E-2</v>
      </c>
      <c r="C5" s="1">
        <f t="shared" si="1"/>
        <v>66.666666666666671</v>
      </c>
      <c r="D5" s="1">
        <v>2.3599999999999999E-2</v>
      </c>
      <c r="E5" s="1">
        <v>4.9599999999999998E-2</v>
      </c>
      <c r="F5" s="1">
        <v>0.1062</v>
      </c>
    </row>
    <row r="6" spans="1:10" x14ac:dyDescent="0.3">
      <c r="A6" s="1">
        <v>2</v>
      </c>
      <c r="B6" s="1">
        <f t="shared" si="0"/>
        <v>0.02</v>
      </c>
      <c r="C6" s="1">
        <f t="shared" si="1"/>
        <v>50</v>
      </c>
      <c r="D6" s="1">
        <v>1.77E-2</v>
      </c>
      <c r="E6" s="1">
        <v>3.7199999999999997E-2</v>
      </c>
      <c r="F6" s="1">
        <v>7.9699999999999993E-2</v>
      </c>
    </row>
    <row r="7" spans="1:10" x14ac:dyDescent="0.3">
      <c r="A7" s="1">
        <v>2.5</v>
      </c>
      <c r="B7" s="1">
        <f t="shared" si="0"/>
        <v>2.5000000000000001E-2</v>
      </c>
      <c r="C7" s="1">
        <f t="shared" si="1"/>
        <v>40</v>
      </c>
      <c r="D7" s="1">
        <v>1.4200000000000001E-2</v>
      </c>
      <c r="E7" s="1">
        <v>2.9700000000000001E-2</v>
      </c>
      <c r="F7" s="1">
        <v>6.3700000000000007E-2</v>
      </c>
    </row>
    <row r="8" spans="1:10" x14ac:dyDescent="0.3">
      <c r="A8" s="1">
        <v>3</v>
      </c>
      <c r="B8" s="1">
        <f t="shared" si="0"/>
        <v>0.03</v>
      </c>
      <c r="C8" s="1">
        <f t="shared" si="1"/>
        <v>33.333333333333336</v>
      </c>
      <c r="D8" s="1">
        <v>1.18E-2</v>
      </c>
      <c r="E8" s="1">
        <v>2.4799999999999999E-2</v>
      </c>
      <c r="F8" s="1">
        <v>5.3100000000000001E-2</v>
      </c>
    </row>
    <row r="9" spans="1:10" x14ac:dyDescent="0.3">
      <c r="A9" s="1">
        <v>3.5</v>
      </c>
      <c r="B9" s="1">
        <f t="shared" si="0"/>
        <v>3.5000000000000003E-2</v>
      </c>
      <c r="C9" s="1">
        <f t="shared" si="1"/>
        <v>28.571428571428569</v>
      </c>
      <c r="D9" s="1">
        <v>1.01E-2</v>
      </c>
      <c r="E9" s="1">
        <v>2.12E-2</v>
      </c>
      <c r="F9" s="1">
        <v>4.5499999999999999E-2</v>
      </c>
    </row>
    <row r="10" spans="1:10" x14ac:dyDescent="0.3">
      <c r="A10" s="1">
        <v>4</v>
      </c>
      <c r="B10" s="1">
        <f t="shared" si="0"/>
        <v>0.04</v>
      </c>
      <c r="C10" s="1">
        <f t="shared" si="1"/>
        <v>25</v>
      </c>
      <c r="D10" s="1">
        <v>8.8999999999999999E-3</v>
      </c>
      <c r="E10" s="1">
        <v>1.8599999999999998E-2</v>
      </c>
      <c r="F10" s="1">
        <v>3.9800000000000002E-2</v>
      </c>
    </row>
    <row r="11" spans="1:10" x14ac:dyDescent="0.3">
      <c r="A11" s="1">
        <v>4.5</v>
      </c>
      <c r="B11" s="1">
        <f t="shared" si="0"/>
        <v>4.4999999999999998E-2</v>
      </c>
      <c r="C11" s="1">
        <f t="shared" si="1"/>
        <v>22.222222222222221</v>
      </c>
      <c r="D11" s="1">
        <v>7.9000000000000008E-3</v>
      </c>
      <c r="E11" s="1">
        <v>1.6500000000000001E-2</v>
      </c>
      <c r="F11" s="1">
        <v>3.5400000000000001E-2</v>
      </c>
    </row>
    <row r="12" spans="1:10" x14ac:dyDescent="0.3">
      <c r="A12" s="1">
        <v>5</v>
      </c>
      <c r="B12" s="1">
        <f t="shared" si="0"/>
        <v>0.05</v>
      </c>
      <c r="C12" s="1">
        <f t="shared" si="1"/>
        <v>20</v>
      </c>
      <c r="D12" s="1">
        <v>7.1000000000000004E-3</v>
      </c>
      <c r="E12" s="1">
        <v>1.49E-2</v>
      </c>
      <c r="F12" s="1">
        <v>3.1899999999999998E-2</v>
      </c>
    </row>
    <row r="13" spans="1:10" x14ac:dyDescent="0.3">
      <c r="A13" s="1">
        <v>5.5</v>
      </c>
      <c r="B13" s="1">
        <f t="shared" si="0"/>
        <v>5.5E-2</v>
      </c>
      <c r="C13" s="1">
        <f t="shared" si="1"/>
        <v>18.181818181818183</v>
      </c>
      <c r="D13" s="1">
        <v>6.4000000000000003E-3</v>
      </c>
      <c r="E13" s="1">
        <v>1.35E-2</v>
      </c>
      <c r="F13" s="1">
        <v>2.9000000000000001E-2</v>
      </c>
    </row>
    <row r="14" spans="1:10" x14ac:dyDescent="0.3">
      <c r="A14" s="1">
        <v>6</v>
      </c>
      <c r="B14" s="1">
        <f t="shared" si="0"/>
        <v>0.06</v>
      </c>
      <c r="C14" s="1">
        <f t="shared" si="1"/>
        <v>16.666666666666668</v>
      </c>
      <c r="D14" s="1">
        <v>5.8999999999999999E-3</v>
      </c>
      <c r="E14" s="1">
        <v>1.24E-2</v>
      </c>
      <c r="F14" s="1">
        <v>2.6599999999999999E-2</v>
      </c>
    </row>
    <row r="15" spans="1:10" x14ac:dyDescent="0.3">
      <c r="A15" s="1">
        <v>6.5</v>
      </c>
      <c r="B15" s="1">
        <f t="shared" si="0"/>
        <v>6.5000000000000002E-2</v>
      </c>
      <c r="C15" s="1">
        <f t="shared" si="1"/>
        <v>15.384615384615383</v>
      </c>
      <c r="D15" s="1">
        <v>5.4000000000000003E-3</v>
      </c>
      <c r="E15" s="1">
        <v>1.14E-2</v>
      </c>
      <c r="F15" s="1">
        <v>2.4500000000000001E-2</v>
      </c>
    </row>
    <row r="16" spans="1:10" x14ac:dyDescent="0.3">
      <c r="A16" s="1">
        <v>7</v>
      </c>
      <c r="B16" s="1">
        <f t="shared" si="0"/>
        <v>7.0000000000000007E-2</v>
      </c>
      <c r="C16" s="1">
        <f t="shared" si="1"/>
        <v>14.285714285714285</v>
      </c>
      <c r="D16" s="1">
        <v>5.1000000000000004E-3</v>
      </c>
      <c r="E16" s="1">
        <v>1.06E-2</v>
      </c>
      <c r="F16" s="1">
        <v>2.2800000000000001E-2</v>
      </c>
    </row>
    <row r="17" spans="1:6" x14ac:dyDescent="0.3">
      <c r="A17" s="1">
        <v>7.5</v>
      </c>
      <c r="B17" s="1">
        <f t="shared" si="0"/>
        <v>7.4999999999999997E-2</v>
      </c>
      <c r="C17" s="1">
        <f t="shared" si="1"/>
        <v>13.333333333333334</v>
      </c>
      <c r="D17" s="1">
        <v>4.7000000000000002E-3</v>
      </c>
      <c r="E17" s="1">
        <v>9.9000000000000008E-3</v>
      </c>
      <c r="F17" s="1">
        <v>2.12E-2</v>
      </c>
    </row>
    <row r="18" spans="1:6" x14ac:dyDescent="0.3">
      <c r="A18" s="1">
        <v>8</v>
      </c>
      <c r="B18" s="1">
        <f t="shared" si="0"/>
        <v>0.08</v>
      </c>
      <c r="C18" s="1">
        <f t="shared" si="1"/>
        <v>12.5</v>
      </c>
      <c r="D18" s="1">
        <v>4.4000000000000003E-3</v>
      </c>
      <c r="E18" s="1">
        <v>9.2999999999999992E-3</v>
      </c>
      <c r="F18" s="1">
        <v>1.9900000000000001E-2</v>
      </c>
    </row>
    <row r="19" spans="1:6" x14ac:dyDescent="0.3">
      <c r="A19" s="1">
        <v>8.5</v>
      </c>
      <c r="B19" s="1">
        <f t="shared" si="0"/>
        <v>8.5000000000000006E-2</v>
      </c>
      <c r="C19" s="1">
        <f t="shared" si="1"/>
        <v>11.76470588235294</v>
      </c>
      <c r="D19" s="1">
        <v>4.1999999999999997E-3</v>
      </c>
      <c r="E19" s="1">
        <v>8.6999999999999994E-3</v>
      </c>
      <c r="F19" s="1">
        <v>1.8700000000000001E-2</v>
      </c>
    </row>
    <row r="20" spans="1:6" x14ac:dyDescent="0.3">
      <c r="A20" s="1">
        <v>9</v>
      </c>
      <c r="B20" s="1">
        <f t="shared" si="0"/>
        <v>0.09</v>
      </c>
      <c r="C20" s="1">
        <f t="shared" si="1"/>
        <v>11.111111111111111</v>
      </c>
      <c r="D20" s="1">
        <v>3.8999999999999998E-3</v>
      </c>
      <c r="E20" s="1">
        <v>8.3000000000000001E-3</v>
      </c>
      <c r="F20" s="1">
        <v>1.77E-2</v>
      </c>
    </row>
    <row r="21" spans="1:6" x14ac:dyDescent="0.3">
      <c r="A21" s="1">
        <v>9.5</v>
      </c>
      <c r="B21" s="1">
        <f t="shared" si="0"/>
        <v>9.5000000000000001E-2</v>
      </c>
      <c r="C21" s="1">
        <f t="shared" si="1"/>
        <v>10.526315789473685</v>
      </c>
      <c r="D21" s="1">
        <v>3.7000000000000002E-3</v>
      </c>
      <c r="E21" s="1">
        <v>7.7999999999999996E-3</v>
      </c>
      <c r="F21" s="1">
        <v>1.6799999999999999E-2</v>
      </c>
    </row>
    <row r="22" spans="1:6" ht="15" thickBot="1" x14ac:dyDescent="0.35">
      <c r="A22" s="1">
        <v>10</v>
      </c>
      <c r="B22" s="1">
        <f t="shared" si="0"/>
        <v>0.1</v>
      </c>
      <c r="C22" s="2">
        <f t="shared" si="1"/>
        <v>10</v>
      </c>
      <c r="D22" s="2">
        <v>3.5000000000000001E-3</v>
      </c>
      <c r="E22" s="2">
        <v>7.4000000000000003E-3</v>
      </c>
      <c r="F22" s="2">
        <v>1.5900000000000001E-2</v>
      </c>
    </row>
    <row r="23" spans="1:6" x14ac:dyDescent="0.3">
      <c r="C23" s="3" t="s">
        <v>7</v>
      </c>
      <c r="D23" s="4">
        <f>SLOPE(D3:D22,C$3:C$22)</f>
        <v>3.5406139962400486E-4</v>
      </c>
      <c r="E23" s="4">
        <f>SLOPE(E3:E22,C3:C22)</f>
        <v>7.437029099772118E-4</v>
      </c>
      <c r="F23" s="5">
        <f>SLOPE(F3:F22,C3:C22)</f>
        <v>1.5936047113124768E-3</v>
      </c>
    </row>
    <row r="24" spans="1:6" x14ac:dyDescent="0.3">
      <c r="C24" s="6" t="s">
        <v>8</v>
      </c>
      <c r="D24" s="1">
        <f>D23/$I$3</f>
        <v>8.8515349906001205E-3</v>
      </c>
      <c r="E24" s="1">
        <f>E23/$I$3</f>
        <v>1.859257274943029E-2</v>
      </c>
      <c r="F24" s="7">
        <f>F23/$I$3</f>
        <v>3.9840117782811914E-2</v>
      </c>
    </row>
    <row r="25" spans="1:6" x14ac:dyDescent="0.3">
      <c r="C25" s="6" t="s">
        <v>21</v>
      </c>
      <c r="D25" s="1">
        <f>D24*10^-9</f>
        <v>8.8515349906001211E-12</v>
      </c>
      <c r="E25" s="1">
        <f t="shared" ref="E25:F25" si="2">E24*10^-9</f>
        <v>1.859257274943029E-11</v>
      </c>
      <c r="F25" s="7">
        <f t="shared" si="2"/>
        <v>3.9840117782811916E-11</v>
      </c>
    </row>
    <row r="26" spans="1:6" x14ac:dyDescent="0.3">
      <c r="C26" s="6" t="s">
        <v>22</v>
      </c>
      <c r="D26" s="1">
        <f>D25/$J$3</f>
        <v>0.99972159369777747</v>
      </c>
      <c r="E26" s="1">
        <f t="shared" ref="E26:F26" si="3">E25/$J$3</f>
        <v>2.0999065675886937</v>
      </c>
      <c r="F26" s="7">
        <f t="shared" si="3"/>
        <v>4.499674472872365</v>
      </c>
    </row>
    <row r="27" spans="1:6" x14ac:dyDescent="0.3">
      <c r="C27" s="6" t="s">
        <v>23</v>
      </c>
      <c r="D27" s="1">
        <f>1</f>
        <v>1</v>
      </c>
      <c r="E27" s="1">
        <v>2.1</v>
      </c>
      <c r="F27" s="7">
        <v>4.5</v>
      </c>
    </row>
    <row r="28" spans="1:6" ht="15" thickBot="1" x14ac:dyDescent="0.35">
      <c r="C28" s="8" t="s">
        <v>24</v>
      </c>
      <c r="D28" s="9">
        <f>(ABS(D26-D27)/D27)*100</f>
        <v>2.784063022225336E-2</v>
      </c>
      <c r="E28" s="9">
        <f t="shared" ref="E28:F28" si="4">(ABS(E26-E27)/E27)*100</f>
        <v>4.4491624431637023E-3</v>
      </c>
      <c r="F28" s="10">
        <f t="shared" si="4"/>
        <v>7.2339361696667952E-3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Distancia</vt:lpstr>
      <vt:lpstr>Area</vt:lpstr>
      <vt:lpstr>Dielectrico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Fabián Jalk</dc:creator>
  <cp:lastModifiedBy>Fabián Jalk</cp:lastModifiedBy>
  <dcterms:created xsi:type="dcterms:W3CDTF">2026-10-21T01:40:46Z</dcterms:created>
  <dcterms:modified xsi:type="dcterms:W3CDTF">2026-10-21T16:03:22Z</dcterms:modified>
</cp:coreProperties>
</file>